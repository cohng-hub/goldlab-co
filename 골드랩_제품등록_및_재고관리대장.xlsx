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품상세_등록카드" sheetId="1" state="visible" r:id="rId1"/>
    <sheet name="제품_목록관리대장" sheetId="2" state="visible" r:id="rId2"/>
    <sheet name="사용안내_및_설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 &quot;g&quot;"/>
    <numFmt numFmtId="165" formatCode="0.00 &quot;돈&quot;"/>
    <numFmt numFmtId="166" formatCode="#,##0 &quot;원&quot;"/>
    <numFmt numFmtId="167" formatCode="0.0%"/>
    <numFmt numFmtId="168" formatCode="#,##0 &quot;개&quot;"/>
    <numFmt numFmtId="169" formatCode="#,##0 &quot;개 품목&quot;"/>
  </numFmts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94A3B8"/>
      <sz val="9"/>
    </font>
    <font>
      <name val="맑은 고딕"/>
      <b val="1"/>
      <color rgb="001E293B"/>
      <sz val="11"/>
    </font>
    <font>
      <name val="맑은 고딕"/>
      <color rgb="0064748B"/>
      <sz val="8"/>
    </font>
    <font>
      <name val="맑은 고딕"/>
      <b val="1"/>
      <color rgb="001E293B"/>
      <sz val="10"/>
    </font>
    <font>
      <name val="맑은 고딕"/>
      <color rgb="001E293B"/>
      <sz val="10"/>
    </font>
    <font>
      <name val="맑은 고딕"/>
      <b val="1"/>
      <color rgb="001E40AF"/>
      <sz val="10"/>
    </font>
    <font>
      <name val="맑은 고딕"/>
      <b val="1"/>
      <color rgb="001E293B"/>
      <sz val="14"/>
    </font>
    <font>
      <name val="맑은 고딕"/>
      <b val="1"/>
      <color rgb="00B8860B"/>
      <sz val="14"/>
    </font>
    <font>
      <name val="맑은 고딕"/>
      <b val="1"/>
      <color rgb="001E40AF"/>
      <sz val="14"/>
    </font>
    <font>
      <name val="맑은 고딕"/>
      <b val="1"/>
      <color rgb="00059669"/>
      <sz val="14"/>
    </font>
    <font>
      <name val="맑은 고딕"/>
      <color rgb="0064748B"/>
      <sz val="8.5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AFAFA"/>
        <bgColor rgb="00FAFAF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  <xf numFmtId="167" fontId="7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8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0" fillId="7" borderId="1" pivotButton="0" quotePrefix="0" xfId="0"/>
    <xf numFmtId="0" fontId="2" fillId="3" borderId="1" applyAlignment="1" pivotButton="0" quotePrefix="0" xfId="0">
      <alignment horizontal="center" vertical="center" wrapText="1"/>
    </xf>
    <xf numFmtId="169" fontId="8" fillId="5" borderId="1" applyAlignment="1" pivotButton="0" quotePrefix="0" xfId="0">
      <alignment horizontal="center" vertical="center" wrapText="1"/>
    </xf>
    <xf numFmtId="168" fontId="8" fillId="5" borderId="1" applyAlignment="1" pivotButton="0" quotePrefix="0" xfId="0">
      <alignment horizontal="center" vertical="center" wrapText="1"/>
    </xf>
    <xf numFmtId="166" fontId="9" fillId="5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center" vertical="center" wrapText="1"/>
    </xf>
    <xf numFmtId="167" fontId="11" fillId="5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3" fontId="7" fillId="6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2" fontId="6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2476500" cy="2190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7</row>
      <rowOff>0</rowOff>
    </from>
    <ext cx="95250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952500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952500" cy="66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4" customWidth="1" min="3" max="3"/>
    <col width="14" customWidth="1" min="4" max="4"/>
    <col width="3" customWidth="1" min="5" max="5"/>
    <col width="14" customWidth="1" min="6" max="6"/>
    <col width="22" customWidth="1" min="7" max="7"/>
    <col width="14" customWidth="1" min="8" max="8"/>
    <col width="22" customWidth="1" min="9" max="9"/>
    <col width="3" customWidth="1" min="10" max="10"/>
  </cols>
  <sheetData>
    <row r="2" ht="40" customHeight="1">
      <c r="B2" s="1" t="inlineStr">
        <is>
          <t>💎 골드랩(GOLD LAB) 프리미엄 제품 상세 등록 카드</t>
        </is>
      </c>
    </row>
    <row r="3" ht="20" customHeight="1">
      <c r="B3" s="2" t="inlineStr">
        <is>
          <t>등록일시: 2026-10-06  |  관리번호: GL-2026-001  |  작성자: 골드랩 관리자  |  * [수식(연노랑)] 표기 셀은 자동 계산됩니다.</t>
        </is>
      </c>
    </row>
    <row r="4" ht="10" customHeight="1"/>
    <row r="5" ht="24" customHeight="1">
      <c r="B5" s="3" t="inlineStr">
        <is>
          <t>📷 제품 실물 사진</t>
        </is>
      </c>
      <c r="F5" s="4" t="inlineStr">
        <is>
          <t>📋 제품 기본 정보 및 규격 사양</t>
        </is>
      </c>
    </row>
    <row r="6" ht="24" customHeight="1">
      <c r="B6" s="5" t="n"/>
      <c r="C6" s="5" t="n"/>
      <c r="D6" s="5" t="n"/>
      <c r="F6" s="6" t="inlineStr">
        <is>
          <t>상품 관리코드</t>
        </is>
      </c>
      <c r="G6" s="7" t="inlineStr">
        <is>
          <t>GL-2026-001</t>
        </is>
      </c>
      <c r="H6" s="6" t="inlineStr">
        <is>
          <t>카테고리/분류</t>
        </is>
      </c>
      <c r="I6" s="7" t="inlineStr">
        <is>
          <t>순금 골드바</t>
        </is>
      </c>
    </row>
    <row r="7" ht="24" customHeight="1">
      <c r="B7" s="5" t="n"/>
      <c r="C7" s="5" t="n"/>
      <c r="D7" s="5" t="n"/>
      <c r="F7" s="6" t="inlineStr">
        <is>
          <t>제 품 명</t>
        </is>
      </c>
      <c r="G7" s="8" t="inlineStr">
        <is>
          <t>24K 한국표준 순금 골드바 10돈</t>
        </is>
      </c>
      <c r="H7" s="6" t="inlineStr">
        <is>
          <t>거래 구분</t>
        </is>
      </c>
      <c r="I7" s="7" t="inlineStr">
        <is>
          <t>신품 입고</t>
        </is>
      </c>
    </row>
    <row r="8" ht="24" customHeight="1">
      <c r="B8" s="5" t="n"/>
      <c r="C8" s="5" t="n"/>
      <c r="D8" s="5" t="n"/>
      <c r="F8" s="6" t="inlineStr">
        <is>
          <t>재질 및 순도</t>
        </is>
      </c>
      <c r="G8" s="7" t="inlineStr">
        <is>
          <t>24K 순금 (99.99%)</t>
        </is>
      </c>
      <c r="H8" s="6" t="inlineStr">
        <is>
          <t>각인/홀마크</t>
        </is>
      </c>
      <c r="I8" s="7" t="inlineStr">
        <is>
          <t>Hallmarked 999.9</t>
        </is>
      </c>
    </row>
    <row r="9" ht="24" customHeight="1">
      <c r="B9" s="5" t="n"/>
      <c r="C9" s="5" t="n"/>
      <c r="D9" s="5" t="n"/>
      <c r="F9" s="6" t="inlineStr">
        <is>
          <t>실측 중량(g)</t>
        </is>
      </c>
      <c r="G9" s="9" t="n">
        <v>37.5</v>
      </c>
      <c r="H9" s="6" t="inlineStr">
        <is>
          <t>환산 중량(돈)</t>
        </is>
      </c>
      <c r="I9" s="10">
        <f>IF(ISNUMBER(G9), ROUND(G9/3.75, 2), 0)</f>
        <v/>
      </c>
    </row>
    <row r="10" ht="24" customHeight="1">
      <c r="B10" s="5" t="n"/>
      <c r="C10" s="5" t="n"/>
      <c r="D10" s="5" t="n"/>
      <c r="F10" s="6" t="inlineStr">
        <is>
          <t>제품 크기/치수</t>
        </is>
      </c>
      <c r="G10" s="7" t="inlineStr">
        <is>
          <t>가로 22mm x 세로 36mm</t>
        </is>
      </c>
      <c r="H10" s="6" t="inlineStr">
        <is>
          <t>보증서 유무</t>
        </is>
      </c>
      <c r="I10" s="7" t="inlineStr">
        <is>
          <t>품질보증서 동봉</t>
        </is>
      </c>
    </row>
    <row r="11" ht="24" customHeight="1">
      <c r="B11" s="5" t="n"/>
      <c r="C11" s="5" t="n"/>
      <c r="D11" s="5" t="n"/>
      <c r="F11" s="6" t="inlineStr">
        <is>
          <t>제조/공급처</t>
        </is>
      </c>
      <c r="G11" s="7" t="inlineStr">
        <is>
          <t>한국표준금거래소 종로본사</t>
        </is>
      </c>
      <c r="H11" s="6" t="inlineStr">
        <is>
          <t>입고 일자</t>
        </is>
      </c>
      <c r="I11" s="7" t="inlineStr">
        <is>
          <t>2026-10-06</t>
        </is>
      </c>
    </row>
    <row r="12" ht="24" customHeight="1">
      <c r="B12" s="5" t="n"/>
      <c r="C12" s="5" t="n"/>
      <c r="D12" s="5" t="n"/>
      <c r="F12" s="6" t="inlineStr">
        <is>
          <t>시리얼 번호</t>
        </is>
      </c>
      <c r="G12" s="7" t="inlineStr">
        <is>
          <t>SN-9948201</t>
        </is>
      </c>
      <c r="H12" s="6" t="inlineStr">
        <is>
          <t>담당 감정사</t>
        </is>
      </c>
      <c r="I12" s="7" t="inlineStr">
        <is>
          <t>김골드 공인감정원</t>
        </is>
      </c>
    </row>
    <row r="13" ht="24" customHeight="1">
      <c r="B13" s="5" t="n"/>
      <c r="C13" s="5" t="n"/>
      <c r="D13" s="5" t="n"/>
      <c r="F13" s="6" t="inlineStr">
        <is>
          <t>원산지</t>
        </is>
      </c>
      <c r="G13" s="7" t="inlineStr">
        <is>
          <t>대한민국 (국내제조)</t>
        </is>
      </c>
      <c r="H13" s="6" t="inlineStr">
        <is>
          <t>패키지 상태</t>
        </is>
      </c>
      <c r="I13" s="7" t="inlineStr">
        <is>
          <t>보안 밀봉 블리스터팩</t>
        </is>
      </c>
    </row>
    <row r="14" ht="18" customHeight="1">
      <c r="B14" s="5" t="n"/>
      <c r="C14" s="5" t="n"/>
      <c r="D14" s="5" t="n"/>
    </row>
    <row r="15" ht="24" customHeight="1">
      <c r="B15" s="5" t="n"/>
      <c r="C15" s="5" t="n"/>
      <c r="D15" s="5" t="n"/>
      <c r="F15" s="4" t="inlineStr">
        <is>
          <t>💰 매입 원가 및 판매가 산정 (자동 계산)</t>
        </is>
      </c>
    </row>
    <row r="16" ht="24" customHeight="1">
      <c r="B16" s="5" t="n"/>
      <c r="C16" s="5" t="n"/>
      <c r="D16" s="5" t="n"/>
      <c r="F16" s="6" t="inlineStr">
        <is>
          <t>매입 단가(원)</t>
        </is>
      </c>
      <c r="G16" s="11" t="n">
        <v>6800000</v>
      </c>
      <c r="H16" s="6" t="inlineStr">
        <is>
          <t>가공/공임비(원)</t>
        </is>
      </c>
      <c r="I16" s="12" t="n">
        <v>30000</v>
      </c>
    </row>
    <row r="17" ht="24" customHeight="1">
      <c r="B17" s="5" t="n"/>
      <c r="C17" s="5" t="n"/>
      <c r="D17" s="5" t="n"/>
      <c r="F17" s="6" t="inlineStr">
        <is>
          <t>총 매입원가</t>
        </is>
      </c>
      <c r="G17" s="13">
        <f>G16+I16</f>
        <v/>
      </c>
      <c r="H17" s="6" t="inlineStr">
        <is>
          <t>부가세(VAT)</t>
        </is>
      </c>
      <c r="I17" s="13">
        <f>ROUND(G17*0.1, 0)</f>
        <v/>
      </c>
    </row>
    <row r="18" ht="24" customHeight="1">
      <c r="B18" s="5" t="n"/>
      <c r="C18" s="5" t="n"/>
      <c r="D18" s="5" t="n"/>
      <c r="F18" s="6" t="inlineStr">
        <is>
          <t>판매 희망가(원)</t>
        </is>
      </c>
      <c r="G18" s="11" t="n">
        <v>7350000</v>
      </c>
      <c r="H18" s="6" t="inlineStr">
        <is>
          <t>예상 마진액(원)</t>
        </is>
      </c>
      <c r="I18" s="13">
        <f>G18-G17</f>
        <v/>
      </c>
    </row>
    <row r="19" ht="24" customHeight="1">
      <c r="B19" s="5" t="n"/>
      <c r="C19" s="5" t="n"/>
      <c r="D19" s="5" t="n"/>
      <c r="F19" s="6" t="inlineStr">
        <is>
          <t>예상 마진율</t>
        </is>
      </c>
      <c r="G19" s="14">
        <f>IF(G17&gt;0, I18/G17, 0)</f>
        <v/>
      </c>
      <c r="H19" s="6" t="inlineStr">
        <is>
          <t>결제/거래방식</t>
        </is>
      </c>
      <c r="I19" s="7" t="inlineStr">
        <is>
          <t>세금계산서 / 현금영수증</t>
        </is>
      </c>
    </row>
    <row r="20">
      <c r="B20" s="15" t="inlineStr">
        <is>
          <t>💡 사진 등록 팁: 상단 [삽입] &gt; [그림] &gt; [이 디바이스]로 사진 삽입 후, 우클릭 &gt; [그림 서식] &gt; [크기 및 속성] &gt; '위치와 크기 변동'을 체크하시면 완벽하게 고정됩니다.</t>
        </is>
      </c>
    </row>
    <row r="21"/>
    <row r="23" ht="24" customHeight="1">
      <c r="B23" s="4" t="inlineStr">
        <is>
          <t>📦 재고 보유 및 보관 위치 관리</t>
        </is>
      </c>
    </row>
    <row r="24" ht="24" customHeight="1">
      <c r="B24" s="6" t="inlineStr">
        <is>
          <t>보유 재고수량</t>
        </is>
      </c>
      <c r="C24" s="16" t="n">
        <v>2</v>
      </c>
      <c r="D24" s="17" t="n"/>
      <c r="F24" s="6" t="inlineStr">
        <is>
          <t>보관 위치</t>
        </is>
      </c>
      <c r="G24" s="8" t="inlineStr">
        <is>
          <t>본점 쇼케이스 A-01 (골드바 전용)</t>
        </is>
      </c>
      <c r="H24" s="17" t="n"/>
      <c r="I24" s="17" t="n"/>
    </row>
    <row r="25" ht="24" customHeight="1">
      <c r="B25" s="6" t="inlineStr">
        <is>
          <t>판매/진열 상태</t>
        </is>
      </c>
      <c r="C25" s="18" t="inlineStr">
        <is>
          <t>진열 판매중</t>
        </is>
      </c>
      <c r="D25" s="17" t="n"/>
      <c r="F25" s="6" t="inlineStr">
        <is>
          <t>재고 평가총액</t>
        </is>
      </c>
      <c r="G25" s="13">
        <f>G17*C24</f>
        <v/>
      </c>
      <c r="H25" s="17" t="n"/>
      <c r="I25" s="17" t="n"/>
    </row>
    <row r="27" ht="24" customHeight="1">
      <c r="B27" s="4" t="inlineStr">
        <is>
          <t>📝 제품 특이사항 및 감정/고객 안내 메모</t>
        </is>
      </c>
    </row>
    <row r="28" ht="20" customHeight="1">
      <c r="B28" s="19" t="inlineStr">
        <is>
          <t>• 순금 999.9 포장 밀봉 블리스터 팩 상태 최상 (미개봉 신품)
• 한국표준금거래소 정품 각인 및 시리얼 넘버 보증서 일치 확인 완료
• 고객 구매 시 전용 고급 가죽 케이스 및 정품 보증서 동봉 출고 요망
• 당일 종로 실시간 금 매입/판매 기준가 변동에 따라 단가 실시간 확인 필요</t>
        </is>
      </c>
      <c r="C28" s="20" t="n"/>
      <c r="D28" s="20" t="n"/>
      <c r="E28" s="20" t="n"/>
      <c r="F28" s="20" t="n"/>
      <c r="G28" s="20" t="n"/>
      <c r="H28" s="20" t="n"/>
      <c r="I28" s="20" t="n"/>
    </row>
    <row r="29" ht="20" customHeight="1">
      <c r="B29" s="20" t="n"/>
      <c r="C29" s="20" t="n"/>
      <c r="D29" s="20" t="n"/>
      <c r="E29" s="20" t="n"/>
      <c r="F29" s="20" t="n"/>
      <c r="G29" s="20" t="n"/>
      <c r="H29" s="20" t="n"/>
      <c r="I29" s="20" t="n"/>
    </row>
    <row r="30" ht="20" customHeight="1">
      <c r="B30" s="20" t="n"/>
      <c r="C30" s="20" t="n"/>
      <c r="D30" s="20" t="n"/>
      <c r="E30" s="20" t="n"/>
      <c r="F30" s="20" t="n"/>
      <c r="G30" s="20" t="n"/>
      <c r="H30" s="20" t="n"/>
      <c r="I30" s="20" t="n"/>
    </row>
    <row r="31" ht="20" customHeight="1">
      <c r="B31" s="20" t="n"/>
      <c r="C31" s="20" t="n"/>
      <c r="D31" s="20" t="n"/>
      <c r="E31" s="20" t="n"/>
      <c r="F31" s="20" t="n"/>
      <c r="G31" s="20" t="n"/>
      <c r="H31" s="20" t="n"/>
      <c r="I31" s="20" t="n"/>
    </row>
  </sheetData>
  <mergeCells count="14">
    <mergeCell ref="B20:D21"/>
    <mergeCell ref="B6:D19"/>
    <mergeCell ref="G24:I24"/>
    <mergeCell ref="B5:D5"/>
    <mergeCell ref="C24:D24"/>
    <mergeCell ref="C25:D25"/>
    <mergeCell ref="B2:I2"/>
    <mergeCell ref="B28:I31"/>
    <mergeCell ref="B3:I3"/>
    <mergeCell ref="F15:I15"/>
    <mergeCell ref="F5:I5"/>
    <mergeCell ref="B27:I27"/>
    <mergeCell ref="B23:I23"/>
    <mergeCell ref="G25:I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U3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8" customWidth="1" min="3" max="3"/>
    <col width="15" customWidth="1" min="4" max="4"/>
    <col width="14" customWidth="1" min="5" max="5"/>
    <col width="24" customWidth="1" min="6" max="6"/>
    <col width="15" customWidth="1" min="7" max="7"/>
    <col width="12" customWidth="1" min="8" max="8"/>
    <col width="12" customWidth="1" min="9" max="9"/>
    <col width="13" customWidth="1" min="10" max="10"/>
    <col width="14" customWidth="1" min="11" max="11"/>
    <col width="12" customWidth="1" min="12" max="12"/>
    <col width="15" customWidth="1" min="13" max="13"/>
    <col width="15" customWidth="1" min="14" max="14"/>
    <col width="11" customWidth="1" min="15" max="15"/>
    <col width="16" customWidth="1" min="16" max="16"/>
    <col width="16" customWidth="1" min="17" max="17"/>
    <col width="12" customWidth="1" min="18" max="18"/>
    <col width="12" customWidth="1" min="19" max="19"/>
    <col width="15" customWidth="1" min="20" max="20"/>
    <col width="25" customWidth="1" min="21" max="21"/>
  </cols>
  <sheetData>
    <row r="2" ht="36" customHeight="1">
      <c r="B2" s="1" t="inlineStr">
        <is>
          <t>📊 골드랩(GOLD LAB) 제품 목록 및 재고 관리 대장</t>
        </is>
      </c>
    </row>
    <row r="3">
      <c r="B3" s="21" t="inlineStr">
        <is>
          <t>총 등록 품목</t>
        </is>
      </c>
      <c r="C3" s="17" t="n"/>
      <c r="D3" s="17" t="n"/>
      <c r="E3" s="21" t="inlineStr">
        <is>
          <t>총 보유 재고수량</t>
        </is>
      </c>
      <c r="F3" s="17" t="n"/>
      <c r="G3" s="17" t="n"/>
      <c r="H3" s="21" t="inlineStr">
        <is>
          <t>총 재고 원가 평가액</t>
        </is>
      </c>
      <c r="I3" s="17" t="n"/>
      <c r="J3" s="17" t="n"/>
      <c r="K3" s="17" t="n"/>
      <c r="L3" s="17" t="n"/>
      <c r="M3" s="21" t="inlineStr">
        <is>
          <t>예상 총 판매 매출액</t>
        </is>
      </c>
      <c r="N3" s="17" t="n"/>
      <c r="O3" s="17" t="n"/>
      <c r="P3" s="17" t="n"/>
      <c r="Q3" s="17" t="n"/>
      <c r="R3" s="21" t="inlineStr">
        <is>
          <t>평균 예상 마진율</t>
        </is>
      </c>
      <c r="S3" s="17" t="n"/>
      <c r="T3" s="17" t="n"/>
      <c r="U3" s="17" t="n"/>
    </row>
    <row r="4">
      <c r="B4" s="22">
        <f>COUNTA(D8:D30)</f>
        <v/>
      </c>
      <c r="C4" s="17" t="n"/>
      <c r="D4" s="17" t="n"/>
      <c r="E4" s="23">
        <f>SUM(O8:O30)</f>
        <v/>
      </c>
      <c r="F4" s="17" t="n"/>
      <c r="G4" s="17" t="n"/>
      <c r="H4" s="24">
        <f>SUM(P8:P30)</f>
        <v/>
      </c>
      <c r="I4" s="17" t="n"/>
      <c r="J4" s="17" t="n"/>
      <c r="K4" s="17" t="n"/>
      <c r="L4" s="17" t="n"/>
      <c r="M4" s="25">
        <f>SUM(Q8:Q30)</f>
        <v/>
      </c>
      <c r="N4" s="17" t="n"/>
      <c r="O4" s="17" t="n"/>
      <c r="P4" s="17" t="n"/>
      <c r="Q4" s="17" t="n"/>
      <c r="R4" s="26">
        <f>IFERROR(AVERAGE(R8:R30), 0)</f>
        <v/>
      </c>
      <c r="S4" s="17" t="n"/>
      <c r="T4" s="17" t="n"/>
      <c r="U4" s="17" t="n"/>
    </row>
    <row r="6" ht="18" customHeight="1">
      <c r="B6" s="27" t="inlineStr">
        <is>
          <t>💡 팁: '제품 사진' 칸(C열)에 사진을 넣으실 때 최신 엑셀은 [삽입 &gt; 그림 &gt; 셀에 배치], 일반 엑셀은 [이 디바이스]로 넣으신 후 우클릭 &gt; [그림 서식] &gt; '위치와 크기 변동'을 설정하세요.</t>
        </is>
      </c>
    </row>
    <row r="7" ht="32" customHeight="1">
      <c r="B7" s="28" t="inlineStr">
        <is>
          <t>No.</t>
        </is>
      </c>
      <c r="C7" s="28" t="inlineStr">
        <is>
          <t>제품 사진
(미리보기)</t>
        </is>
      </c>
      <c r="D7" s="28" t="inlineStr">
        <is>
          <t>상품코드</t>
        </is>
      </c>
      <c r="E7" s="28" t="inlineStr">
        <is>
          <t>카테고리</t>
        </is>
      </c>
      <c r="F7" s="28" t="inlineStr">
        <is>
          <t>상품명</t>
        </is>
      </c>
      <c r="G7" s="28" t="inlineStr">
        <is>
          <t>순도/재질</t>
        </is>
      </c>
      <c r="H7" s="28" t="inlineStr">
        <is>
          <t>중량(g)</t>
        </is>
      </c>
      <c r="I7" s="28" t="inlineStr">
        <is>
          <t>중량(돈)
[자동환산]</t>
        </is>
      </c>
      <c r="J7" s="28" t="inlineStr">
        <is>
          <t>입고일자</t>
        </is>
      </c>
      <c r="K7" s="28" t="inlineStr">
        <is>
          <t>매입단가(원)</t>
        </is>
      </c>
      <c r="L7" s="28" t="inlineStr">
        <is>
          <t>공임비(원)</t>
        </is>
      </c>
      <c r="M7" s="28" t="inlineStr">
        <is>
          <t>총 매입원가
[자동합계]</t>
        </is>
      </c>
      <c r="N7" s="28" t="inlineStr">
        <is>
          <t>판매단가(원)</t>
        </is>
      </c>
      <c r="O7" s="28" t="inlineStr">
        <is>
          <t>재고
수량</t>
        </is>
      </c>
      <c r="P7" s="28" t="inlineStr">
        <is>
          <t>재고평가총액
[자동계산]</t>
        </is>
      </c>
      <c r="Q7" s="28" t="inlineStr">
        <is>
          <t>예상판매총액
[자동계산]</t>
        </is>
      </c>
      <c r="R7" s="28" t="inlineStr">
        <is>
          <t>마진율(%)
[자동계산]</t>
        </is>
      </c>
      <c r="S7" s="28" t="inlineStr">
        <is>
          <t>판매상태</t>
        </is>
      </c>
      <c r="T7" s="28" t="inlineStr">
        <is>
          <t>보관위치</t>
        </is>
      </c>
      <c r="U7" s="28" t="inlineStr">
        <is>
          <t>비고 및 보증서번호</t>
        </is>
      </c>
    </row>
    <row r="8" ht="65" customHeight="1">
      <c r="B8" s="7" t="n">
        <v>1</v>
      </c>
      <c r="C8" s="29" t="n"/>
      <c r="D8" s="18" t="inlineStr">
        <is>
          <t>GL-2026-001</t>
        </is>
      </c>
      <c r="E8" s="7" t="inlineStr">
        <is>
          <t>순금(24K)</t>
        </is>
      </c>
      <c r="F8" s="30" t="inlineStr">
        <is>
          <t>24K 한국표준 순금 골드바 10돈</t>
        </is>
      </c>
      <c r="G8" s="7" t="inlineStr">
        <is>
          <t>24K (99.99%)</t>
        </is>
      </c>
      <c r="H8" s="31" t="n">
        <v>37.5</v>
      </c>
      <c r="I8" s="10">
        <f>IF(ISNUMBER(H8), ROUND(H8/3.75, 2), "")</f>
        <v/>
      </c>
      <c r="J8" s="7" t="inlineStr">
        <is>
          <t>2026-10-06</t>
        </is>
      </c>
      <c r="K8" s="32" t="n">
        <v>6800000</v>
      </c>
      <c r="L8" s="32" t="n">
        <v>30000</v>
      </c>
      <c r="M8" s="33">
        <f>IF(ISNUMBER(K8), K8+IF(ISNUMBER(L8), L8, 0), "")</f>
        <v/>
      </c>
      <c r="N8" s="34" t="n">
        <v>7350000</v>
      </c>
      <c r="O8" s="35" t="n">
        <v>2</v>
      </c>
      <c r="P8" s="33">
        <f>IF(AND(ISNUMBER(M8), ISNUMBER(O8)), M8*O8, "")</f>
        <v/>
      </c>
      <c r="Q8" s="33">
        <f>IF(AND(ISNUMBER(N8), ISNUMBER(O8)), N8*O8, "")</f>
        <v/>
      </c>
      <c r="R8" s="14">
        <f>IF(AND(ISNUMBER(M8), M8&gt;0, ISNUMBER(N8)), (N8-M8)/M8, "")</f>
        <v/>
      </c>
      <c r="S8" s="18" t="inlineStr">
        <is>
          <t>진열 판매중</t>
        </is>
      </c>
      <c r="T8" s="7" t="inlineStr">
        <is>
          <t>쇼케이스 A-01</t>
        </is>
      </c>
      <c r="U8" s="8" t="inlineStr">
        <is>
          <t>정품 보증서 동봉 / 밀봉팩</t>
        </is>
      </c>
    </row>
    <row r="9" ht="65" customHeight="1">
      <c r="B9" s="7" t="n">
        <v>2</v>
      </c>
      <c r="C9" s="29" t="n"/>
      <c r="D9" s="18" t="inlineStr">
        <is>
          <t>GL-2026-002</t>
        </is>
      </c>
      <c r="E9" s="7" t="inlineStr">
        <is>
          <t>18K 골드</t>
        </is>
      </c>
      <c r="F9" s="30" t="inlineStr">
        <is>
          <t>18K 반클리프 스타일 클로버 목걸이</t>
        </is>
      </c>
      <c r="G9" s="7" t="inlineStr">
        <is>
          <t>18K (75.0%)</t>
        </is>
      </c>
      <c r="H9" s="31" t="n">
        <v>5.62</v>
      </c>
      <c r="I9" s="10">
        <f>IF(ISNUMBER(H9), ROUND(H9/3.75, 2), "")</f>
        <v/>
      </c>
      <c r="J9" s="7" t="inlineStr">
        <is>
          <t>2026-10-05</t>
        </is>
      </c>
      <c r="K9" s="32" t="n">
        <v>820000</v>
      </c>
      <c r="L9" s="32" t="n">
        <v>95000</v>
      </c>
      <c r="M9" s="33">
        <f>IF(ISNUMBER(K9), K9+IF(ISNUMBER(L9), L9, 0), "")</f>
        <v/>
      </c>
      <c r="N9" s="34" t="n">
        <v>1150000</v>
      </c>
      <c r="O9" s="35" t="n">
        <v>3</v>
      </c>
      <c r="P9" s="33">
        <f>IF(AND(ISNUMBER(M9), ISNUMBER(O9)), M9*O9, "")</f>
        <v/>
      </c>
      <c r="Q9" s="33">
        <f>IF(AND(ISNUMBER(N9), ISNUMBER(O9)), N9*O9, "")</f>
        <v/>
      </c>
      <c r="R9" s="14">
        <f>IF(AND(ISNUMBER(M9), M9&gt;0, ISNUMBER(N9)), (N9-M9)/M9, "")</f>
        <v/>
      </c>
      <c r="S9" s="18" t="inlineStr">
        <is>
          <t>진열 판매중</t>
        </is>
      </c>
      <c r="T9" s="7" t="inlineStr">
        <is>
          <t>쇼케이스 B-03</t>
        </is>
      </c>
      <c r="U9" s="8" t="inlineStr">
        <is>
          <t>자개 펜던트 세팅 / 선물포장</t>
        </is>
      </c>
    </row>
    <row r="10" ht="65" customHeight="1">
      <c r="B10" s="7" t="n">
        <v>3</v>
      </c>
      <c r="C10" s="29" t="n"/>
      <c r="D10" s="18" t="inlineStr">
        <is>
          <t>GL-2026-003</t>
        </is>
      </c>
      <c r="E10" s="7" t="inlineStr">
        <is>
          <t>다이아/보석</t>
        </is>
      </c>
      <c r="F10" s="30" t="inlineStr">
        <is>
          <t>14K 화이트골드 3부 다이아 솔리테어 링</t>
        </is>
      </c>
      <c r="G10" s="7" t="inlineStr">
        <is>
          <t>14K (58.5%)</t>
        </is>
      </c>
      <c r="H10" s="31" t="n">
        <v>3.15</v>
      </c>
      <c r="I10" s="10">
        <f>IF(ISNUMBER(H10), ROUND(H10/3.75, 2), "")</f>
        <v/>
      </c>
      <c r="J10" s="7" t="inlineStr">
        <is>
          <t>2026-10-04</t>
        </is>
      </c>
      <c r="K10" s="32" t="n">
        <v>1250000</v>
      </c>
      <c r="L10" s="32" t="n">
        <v>150000</v>
      </c>
      <c r="M10" s="33">
        <f>IF(ISNUMBER(K10), K10+IF(ISNUMBER(L10), L10, 0), "")</f>
        <v/>
      </c>
      <c r="N10" s="34" t="n">
        <v>1790000</v>
      </c>
      <c r="O10" s="35" t="n">
        <v>1</v>
      </c>
      <c r="P10" s="33">
        <f>IF(AND(ISNUMBER(M10), ISNUMBER(O10)), M10*O10, "")</f>
        <v/>
      </c>
      <c r="Q10" s="33">
        <f>IF(AND(ISNUMBER(N10), ISNUMBER(O10)), N10*O10, "")</f>
        <v/>
      </c>
      <c r="R10" s="14">
        <f>IF(AND(ISNUMBER(M10), M10&gt;0, ISNUMBER(N10)), (N10-M10)/M10, "")</f>
        <v/>
      </c>
      <c r="S10" s="18" t="inlineStr">
        <is>
          <t>예약중</t>
        </is>
      </c>
      <c r="T10" s="7" t="inlineStr">
        <is>
          <t>금고 1호실</t>
        </is>
      </c>
      <c r="U10" s="8" t="inlineStr">
        <is>
          <t>우신 0.3ct F SI1 VG 감정서 동봉</t>
        </is>
      </c>
    </row>
    <row r="11" ht="65" customHeight="1">
      <c r="B11" s="36" t="n">
        <v>4</v>
      </c>
      <c r="C11" s="37" t="n"/>
      <c r="D11" s="6" t="n"/>
      <c r="E11" s="36" t="n"/>
      <c r="F11" s="38" t="n"/>
      <c r="G11" s="36" t="n"/>
      <c r="H11" s="39" t="n"/>
      <c r="I11" s="10">
        <f>IF(ISNUMBER(H11), ROUND(H11/3.75, 2), "")</f>
        <v/>
      </c>
      <c r="J11" s="36" t="n"/>
      <c r="K11" s="40" t="n"/>
      <c r="L11" s="40" t="n"/>
      <c r="M11" s="33">
        <f>IF(ISNUMBER(K11), K11+IF(ISNUMBER(L11), L11, 0), "")</f>
        <v/>
      </c>
      <c r="N11" s="41" t="n"/>
      <c r="O11" s="42" t="n"/>
      <c r="P11" s="33">
        <f>IF(AND(ISNUMBER(M11), ISNUMBER(O11)), M11*O11, "")</f>
        <v/>
      </c>
      <c r="Q11" s="33">
        <f>IF(AND(ISNUMBER(N11), ISNUMBER(O11)), N11*O11, "")</f>
        <v/>
      </c>
      <c r="R11" s="14">
        <f>IF(AND(ISNUMBER(M11), M11&gt;0, ISNUMBER(N11)), (N11-M11)/M11, "")</f>
        <v/>
      </c>
      <c r="S11" s="6" t="n"/>
      <c r="T11" s="36" t="n"/>
      <c r="U11" s="43" t="n"/>
    </row>
    <row r="12" ht="65" customHeight="1">
      <c r="B12" s="7" t="n">
        <v>5</v>
      </c>
      <c r="C12" s="29" t="n"/>
      <c r="D12" s="18" t="n"/>
      <c r="E12" s="7" t="n"/>
      <c r="F12" s="30" t="n"/>
      <c r="G12" s="7" t="n"/>
      <c r="H12" s="31" t="n"/>
      <c r="I12" s="10">
        <f>IF(ISNUMBER(H12), ROUND(H12/3.75, 2), "")</f>
        <v/>
      </c>
      <c r="J12" s="7" t="n"/>
      <c r="K12" s="32" t="n"/>
      <c r="L12" s="32" t="n"/>
      <c r="M12" s="33">
        <f>IF(ISNUMBER(K12), K12+IF(ISNUMBER(L12), L12, 0), "")</f>
        <v/>
      </c>
      <c r="N12" s="34" t="n"/>
      <c r="O12" s="35" t="n"/>
      <c r="P12" s="33">
        <f>IF(AND(ISNUMBER(M12), ISNUMBER(O12)), M12*O12, "")</f>
        <v/>
      </c>
      <c r="Q12" s="33">
        <f>IF(AND(ISNUMBER(N12), ISNUMBER(O12)), N12*O12, "")</f>
        <v/>
      </c>
      <c r="R12" s="14">
        <f>IF(AND(ISNUMBER(M12), M12&gt;0, ISNUMBER(N12)), (N12-M12)/M12, "")</f>
        <v/>
      </c>
      <c r="S12" s="18" t="n"/>
      <c r="T12" s="7" t="n"/>
      <c r="U12" s="8" t="n"/>
    </row>
    <row r="13" ht="65" customHeight="1">
      <c r="B13" s="36" t="n">
        <v>6</v>
      </c>
      <c r="C13" s="37" t="n"/>
      <c r="D13" s="6" t="n"/>
      <c r="E13" s="36" t="n"/>
      <c r="F13" s="38" t="n"/>
      <c r="G13" s="36" t="n"/>
      <c r="H13" s="39" t="n"/>
      <c r="I13" s="10">
        <f>IF(ISNUMBER(H13), ROUND(H13/3.75, 2), "")</f>
        <v/>
      </c>
      <c r="J13" s="36" t="n"/>
      <c r="K13" s="40" t="n"/>
      <c r="L13" s="40" t="n"/>
      <c r="M13" s="33">
        <f>IF(ISNUMBER(K13), K13+IF(ISNUMBER(L13), L13, 0), "")</f>
        <v/>
      </c>
      <c r="N13" s="41" t="n"/>
      <c r="O13" s="42" t="n"/>
      <c r="P13" s="33">
        <f>IF(AND(ISNUMBER(M13), ISNUMBER(O13)), M13*O13, "")</f>
        <v/>
      </c>
      <c r="Q13" s="33">
        <f>IF(AND(ISNUMBER(N13), ISNUMBER(O13)), N13*O13, "")</f>
        <v/>
      </c>
      <c r="R13" s="14">
        <f>IF(AND(ISNUMBER(M13), M13&gt;0, ISNUMBER(N13)), (N13-M13)/M13, "")</f>
        <v/>
      </c>
      <c r="S13" s="6" t="n"/>
      <c r="T13" s="36" t="n"/>
      <c r="U13" s="43" t="n"/>
    </row>
    <row r="14" ht="65" customHeight="1">
      <c r="B14" s="7" t="n">
        <v>7</v>
      </c>
      <c r="C14" s="29" t="n"/>
      <c r="D14" s="18" t="n"/>
      <c r="E14" s="7" t="n"/>
      <c r="F14" s="30" t="n"/>
      <c r="G14" s="7" t="n"/>
      <c r="H14" s="31" t="n"/>
      <c r="I14" s="10">
        <f>IF(ISNUMBER(H14), ROUND(H14/3.75, 2), "")</f>
        <v/>
      </c>
      <c r="J14" s="7" t="n"/>
      <c r="K14" s="32" t="n"/>
      <c r="L14" s="32" t="n"/>
      <c r="M14" s="33">
        <f>IF(ISNUMBER(K14), K14+IF(ISNUMBER(L14), L14, 0), "")</f>
        <v/>
      </c>
      <c r="N14" s="34" t="n"/>
      <c r="O14" s="35" t="n"/>
      <c r="P14" s="33">
        <f>IF(AND(ISNUMBER(M14), ISNUMBER(O14)), M14*O14, "")</f>
        <v/>
      </c>
      <c r="Q14" s="33">
        <f>IF(AND(ISNUMBER(N14), ISNUMBER(O14)), N14*O14, "")</f>
        <v/>
      </c>
      <c r="R14" s="14">
        <f>IF(AND(ISNUMBER(M14), M14&gt;0, ISNUMBER(N14)), (N14-M14)/M14, "")</f>
        <v/>
      </c>
      <c r="S14" s="18" t="n"/>
      <c r="T14" s="7" t="n"/>
      <c r="U14" s="8" t="n"/>
    </row>
    <row r="15" ht="65" customHeight="1">
      <c r="B15" s="36" t="n">
        <v>8</v>
      </c>
      <c r="C15" s="37" t="n"/>
      <c r="D15" s="6" t="n"/>
      <c r="E15" s="36" t="n"/>
      <c r="F15" s="38" t="n"/>
      <c r="G15" s="36" t="n"/>
      <c r="H15" s="39" t="n"/>
      <c r="I15" s="10">
        <f>IF(ISNUMBER(H15), ROUND(H15/3.75, 2), "")</f>
        <v/>
      </c>
      <c r="J15" s="36" t="n"/>
      <c r="K15" s="40" t="n"/>
      <c r="L15" s="40" t="n"/>
      <c r="M15" s="33">
        <f>IF(ISNUMBER(K15), K15+IF(ISNUMBER(L15), L15, 0), "")</f>
        <v/>
      </c>
      <c r="N15" s="41" t="n"/>
      <c r="O15" s="42" t="n"/>
      <c r="P15" s="33">
        <f>IF(AND(ISNUMBER(M15), ISNUMBER(O15)), M15*O15, "")</f>
        <v/>
      </c>
      <c r="Q15" s="33">
        <f>IF(AND(ISNUMBER(N15), ISNUMBER(O15)), N15*O15, "")</f>
        <v/>
      </c>
      <c r="R15" s="14">
        <f>IF(AND(ISNUMBER(M15), M15&gt;0, ISNUMBER(N15)), (N15-M15)/M15, "")</f>
        <v/>
      </c>
      <c r="S15" s="6" t="n"/>
      <c r="T15" s="36" t="n"/>
      <c r="U15" s="43" t="n"/>
    </row>
    <row r="16" ht="65" customHeight="1">
      <c r="B16" s="7" t="n">
        <v>9</v>
      </c>
      <c r="C16" s="29" t="n"/>
      <c r="D16" s="18" t="n"/>
      <c r="E16" s="7" t="n"/>
      <c r="F16" s="30" t="n"/>
      <c r="G16" s="7" t="n"/>
      <c r="H16" s="31" t="n"/>
      <c r="I16" s="10">
        <f>IF(ISNUMBER(H16), ROUND(H16/3.75, 2), "")</f>
        <v/>
      </c>
      <c r="J16" s="7" t="n"/>
      <c r="K16" s="32" t="n"/>
      <c r="L16" s="32" t="n"/>
      <c r="M16" s="33">
        <f>IF(ISNUMBER(K16), K16+IF(ISNUMBER(L16), L16, 0), "")</f>
        <v/>
      </c>
      <c r="N16" s="34" t="n"/>
      <c r="O16" s="35" t="n"/>
      <c r="P16" s="33">
        <f>IF(AND(ISNUMBER(M16), ISNUMBER(O16)), M16*O16, "")</f>
        <v/>
      </c>
      <c r="Q16" s="33">
        <f>IF(AND(ISNUMBER(N16), ISNUMBER(O16)), N16*O16, "")</f>
        <v/>
      </c>
      <c r="R16" s="14">
        <f>IF(AND(ISNUMBER(M16), M16&gt;0, ISNUMBER(N16)), (N16-M16)/M16, "")</f>
        <v/>
      </c>
      <c r="S16" s="18" t="n"/>
      <c r="T16" s="7" t="n"/>
      <c r="U16" s="8" t="n"/>
    </row>
    <row r="17" ht="65" customHeight="1">
      <c r="B17" s="36" t="n">
        <v>10</v>
      </c>
      <c r="C17" s="37" t="n"/>
      <c r="D17" s="6" t="n"/>
      <c r="E17" s="36" t="n"/>
      <c r="F17" s="38" t="n"/>
      <c r="G17" s="36" t="n"/>
      <c r="H17" s="39" t="n"/>
      <c r="I17" s="10">
        <f>IF(ISNUMBER(H17), ROUND(H17/3.75, 2), "")</f>
        <v/>
      </c>
      <c r="J17" s="36" t="n"/>
      <c r="K17" s="40" t="n"/>
      <c r="L17" s="40" t="n"/>
      <c r="M17" s="33">
        <f>IF(ISNUMBER(K17), K17+IF(ISNUMBER(L17), L17, 0), "")</f>
        <v/>
      </c>
      <c r="N17" s="41" t="n"/>
      <c r="O17" s="42" t="n"/>
      <c r="P17" s="33">
        <f>IF(AND(ISNUMBER(M17), ISNUMBER(O17)), M17*O17, "")</f>
        <v/>
      </c>
      <c r="Q17" s="33">
        <f>IF(AND(ISNUMBER(N17), ISNUMBER(O17)), N17*O17, "")</f>
        <v/>
      </c>
      <c r="R17" s="14">
        <f>IF(AND(ISNUMBER(M17), M17&gt;0, ISNUMBER(N17)), (N17-M17)/M17, "")</f>
        <v/>
      </c>
      <c r="S17" s="6" t="n"/>
      <c r="T17" s="36" t="n"/>
      <c r="U17" s="43" t="n"/>
    </row>
    <row r="18" ht="65" customHeight="1">
      <c r="B18" s="7" t="n">
        <v>11</v>
      </c>
      <c r="C18" s="29" t="n"/>
      <c r="D18" s="18" t="n"/>
      <c r="E18" s="7" t="n"/>
      <c r="F18" s="30" t="n"/>
      <c r="G18" s="7" t="n"/>
      <c r="H18" s="31" t="n"/>
      <c r="I18" s="10">
        <f>IF(ISNUMBER(H18), ROUND(H18/3.75, 2), "")</f>
        <v/>
      </c>
      <c r="J18" s="7" t="n"/>
      <c r="K18" s="32" t="n"/>
      <c r="L18" s="32" t="n"/>
      <c r="M18" s="33">
        <f>IF(ISNUMBER(K18), K18+IF(ISNUMBER(L18), L18, 0), "")</f>
        <v/>
      </c>
      <c r="N18" s="34" t="n"/>
      <c r="O18" s="35" t="n"/>
      <c r="P18" s="33">
        <f>IF(AND(ISNUMBER(M18), ISNUMBER(O18)), M18*O18, "")</f>
        <v/>
      </c>
      <c r="Q18" s="33">
        <f>IF(AND(ISNUMBER(N18), ISNUMBER(O18)), N18*O18, "")</f>
        <v/>
      </c>
      <c r="R18" s="14">
        <f>IF(AND(ISNUMBER(M18), M18&gt;0, ISNUMBER(N18)), (N18-M18)/M18, "")</f>
        <v/>
      </c>
      <c r="S18" s="18" t="n"/>
      <c r="T18" s="7" t="n"/>
      <c r="U18" s="8" t="n"/>
    </row>
    <row r="19" ht="65" customHeight="1">
      <c r="B19" s="36" t="n">
        <v>12</v>
      </c>
      <c r="C19" s="37" t="n"/>
      <c r="D19" s="6" t="n"/>
      <c r="E19" s="36" t="n"/>
      <c r="F19" s="38" t="n"/>
      <c r="G19" s="36" t="n"/>
      <c r="H19" s="39" t="n"/>
      <c r="I19" s="10">
        <f>IF(ISNUMBER(H19), ROUND(H19/3.75, 2), "")</f>
        <v/>
      </c>
      <c r="J19" s="36" t="n"/>
      <c r="K19" s="40" t="n"/>
      <c r="L19" s="40" t="n"/>
      <c r="M19" s="33">
        <f>IF(ISNUMBER(K19), K19+IF(ISNUMBER(L19), L19, 0), "")</f>
        <v/>
      </c>
      <c r="N19" s="41" t="n"/>
      <c r="O19" s="42" t="n"/>
      <c r="P19" s="33">
        <f>IF(AND(ISNUMBER(M19), ISNUMBER(O19)), M19*O19, "")</f>
        <v/>
      </c>
      <c r="Q19" s="33">
        <f>IF(AND(ISNUMBER(N19), ISNUMBER(O19)), N19*O19, "")</f>
        <v/>
      </c>
      <c r="R19" s="14">
        <f>IF(AND(ISNUMBER(M19), M19&gt;0, ISNUMBER(N19)), (N19-M19)/M19, "")</f>
        <v/>
      </c>
      <c r="S19" s="6" t="n"/>
      <c r="T19" s="36" t="n"/>
      <c r="U19" s="43" t="n"/>
    </row>
    <row r="20" ht="65" customHeight="1">
      <c r="B20" s="7" t="n">
        <v>13</v>
      </c>
      <c r="C20" s="29" t="n"/>
      <c r="D20" s="18" t="n"/>
      <c r="E20" s="7" t="n"/>
      <c r="F20" s="30" t="n"/>
      <c r="G20" s="7" t="n"/>
      <c r="H20" s="31" t="n"/>
      <c r="I20" s="10">
        <f>IF(ISNUMBER(H20), ROUND(H20/3.75, 2), "")</f>
        <v/>
      </c>
      <c r="J20" s="7" t="n"/>
      <c r="K20" s="32" t="n"/>
      <c r="L20" s="32" t="n"/>
      <c r="M20" s="33">
        <f>IF(ISNUMBER(K20), K20+IF(ISNUMBER(L20), L20, 0), "")</f>
        <v/>
      </c>
      <c r="N20" s="34" t="n"/>
      <c r="O20" s="35" t="n"/>
      <c r="P20" s="33">
        <f>IF(AND(ISNUMBER(M20), ISNUMBER(O20)), M20*O20, "")</f>
        <v/>
      </c>
      <c r="Q20" s="33">
        <f>IF(AND(ISNUMBER(N20), ISNUMBER(O20)), N20*O20, "")</f>
        <v/>
      </c>
      <c r="R20" s="14">
        <f>IF(AND(ISNUMBER(M20), M20&gt;0, ISNUMBER(N20)), (N20-M20)/M20, "")</f>
        <v/>
      </c>
      <c r="S20" s="18" t="n"/>
      <c r="T20" s="7" t="n"/>
      <c r="U20" s="8" t="n"/>
    </row>
    <row r="21" ht="65" customHeight="1">
      <c r="B21" s="36" t="n">
        <v>14</v>
      </c>
      <c r="C21" s="37" t="n"/>
      <c r="D21" s="6" t="n"/>
      <c r="E21" s="36" t="n"/>
      <c r="F21" s="38" t="n"/>
      <c r="G21" s="36" t="n"/>
      <c r="H21" s="39" t="n"/>
      <c r="I21" s="10">
        <f>IF(ISNUMBER(H21), ROUND(H21/3.75, 2), "")</f>
        <v/>
      </c>
      <c r="J21" s="36" t="n"/>
      <c r="K21" s="40" t="n"/>
      <c r="L21" s="40" t="n"/>
      <c r="M21" s="33">
        <f>IF(ISNUMBER(K21), K21+IF(ISNUMBER(L21), L21, 0), "")</f>
        <v/>
      </c>
      <c r="N21" s="41" t="n"/>
      <c r="O21" s="42" t="n"/>
      <c r="P21" s="33">
        <f>IF(AND(ISNUMBER(M21), ISNUMBER(O21)), M21*O21, "")</f>
        <v/>
      </c>
      <c r="Q21" s="33">
        <f>IF(AND(ISNUMBER(N21), ISNUMBER(O21)), N21*O21, "")</f>
        <v/>
      </c>
      <c r="R21" s="14">
        <f>IF(AND(ISNUMBER(M21), M21&gt;0, ISNUMBER(N21)), (N21-M21)/M21, "")</f>
        <v/>
      </c>
      <c r="S21" s="6" t="n"/>
      <c r="T21" s="36" t="n"/>
      <c r="U21" s="43" t="n"/>
    </row>
    <row r="22" ht="65" customHeight="1">
      <c r="B22" s="7" t="n">
        <v>15</v>
      </c>
      <c r="C22" s="29" t="n"/>
      <c r="D22" s="18" t="n"/>
      <c r="E22" s="7" t="n"/>
      <c r="F22" s="30" t="n"/>
      <c r="G22" s="7" t="n"/>
      <c r="H22" s="31" t="n"/>
      <c r="I22" s="10">
        <f>IF(ISNUMBER(H22), ROUND(H22/3.75, 2), "")</f>
        <v/>
      </c>
      <c r="J22" s="7" t="n"/>
      <c r="K22" s="32" t="n"/>
      <c r="L22" s="32" t="n"/>
      <c r="M22" s="33">
        <f>IF(ISNUMBER(K22), K22+IF(ISNUMBER(L22), L22, 0), "")</f>
        <v/>
      </c>
      <c r="N22" s="34" t="n"/>
      <c r="O22" s="35" t="n"/>
      <c r="P22" s="33">
        <f>IF(AND(ISNUMBER(M22), ISNUMBER(O22)), M22*O22, "")</f>
        <v/>
      </c>
      <c r="Q22" s="33">
        <f>IF(AND(ISNUMBER(N22), ISNUMBER(O22)), N22*O22, "")</f>
        <v/>
      </c>
      <c r="R22" s="14">
        <f>IF(AND(ISNUMBER(M22), M22&gt;0, ISNUMBER(N22)), (N22-M22)/M22, "")</f>
        <v/>
      </c>
      <c r="S22" s="18" t="n"/>
      <c r="T22" s="7" t="n"/>
      <c r="U22" s="8" t="n"/>
    </row>
    <row r="23" ht="65" customHeight="1">
      <c r="B23" s="36" t="n">
        <v>16</v>
      </c>
      <c r="C23" s="37" t="n"/>
      <c r="D23" s="6" t="n"/>
      <c r="E23" s="36" t="n"/>
      <c r="F23" s="38" t="n"/>
      <c r="G23" s="36" t="n"/>
      <c r="H23" s="39" t="n"/>
      <c r="I23" s="10">
        <f>IF(ISNUMBER(H23), ROUND(H23/3.75, 2), "")</f>
        <v/>
      </c>
      <c r="J23" s="36" t="n"/>
      <c r="K23" s="40" t="n"/>
      <c r="L23" s="40" t="n"/>
      <c r="M23" s="33">
        <f>IF(ISNUMBER(K23), K23+IF(ISNUMBER(L23), L23, 0), "")</f>
        <v/>
      </c>
      <c r="N23" s="41" t="n"/>
      <c r="O23" s="42" t="n"/>
      <c r="P23" s="33">
        <f>IF(AND(ISNUMBER(M23), ISNUMBER(O23)), M23*O23, "")</f>
        <v/>
      </c>
      <c r="Q23" s="33">
        <f>IF(AND(ISNUMBER(N23), ISNUMBER(O23)), N23*O23, "")</f>
        <v/>
      </c>
      <c r="R23" s="14">
        <f>IF(AND(ISNUMBER(M23), M23&gt;0, ISNUMBER(N23)), (N23-M23)/M23, "")</f>
        <v/>
      </c>
      <c r="S23" s="6" t="n"/>
      <c r="T23" s="36" t="n"/>
      <c r="U23" s="43" t="n"/>
    </row>
    <row r="24" ht="65" customHeight="1">
      <c r="B24" s="7" t="n">
        <v>17</v>
      </c>
      <c r="C24" s="29" t="n"/>
      <c r="D24" s="18" t="n"/>
      <c r="E24" s="7" t="n"/>
      <c r="F24" s="30" t="n"/>
      <c r="G24" s="7" t="n"/>
      <c r="H24" s="31" t="n"/>
      <c r="I24" s="10">
        <f>IF(ISNUMBER(H24), ROUND(H24/3.75, 2), "")</f>
        <v/>
      </c>
      <c r="J24" s="7" t="n"/>
      <c r="K24" s="32" t="n"/>
      <c r="L24" s="32" t="n"/>
      <c r="M24" s="33">
        <f>IF(ISNUMBER(K24), K24+IF(ISNUMBER(L24), L24, 0), "")</f>
        <v/>
      </c>
      <c r="N24" s="34" t="n"/>
      <c r="O24" s="35" t="n"/>
      <c r="P24" s="33">
        <f>IF(AND(ISNUMBER(M24), ISNUMBER(O24)), M24*O24, "")</f>
        <v/>
      </c>
      <c r="Q24" s="33">
        <f>IF(AND(ISNUMBER(N24), ISNUMBER(O24)), N24*O24, "")</f>
        <v/>
      </c>
      <c r="R24" s="14">
        <f>IF(AND(ISNUMBER(M24), M24&gt;0, ISNUMBER(N24)), (N24-M24)/M24, "")</f>
        <v/>
      </c>
      <c r="S24" s="18" t="n"/>
      <c r="T24" s="7" t="n"/>
      <c r="U24" s="8" t="n"/>
    </row>
    <row r="25" ht="65" customHeight="1">
      <c r="B25" s="36" t="n">
        <v>18</v>
      </c>
      <c r="C25" s="37" t="n"/>
      <c r="D25" s="6" t="n"/>
      <c r="E25" s="36" t="n"/>
      <c r="F25" s="38" t="n"/>
      <c r="G25" s="36" t="n"/>
      <c r="H25" s="39" t="n"/>
      <c r="I25" s="10">
        <f>IF(ISNUMBER(H25), ROUND(H25/3.75, 2), "")</f>
        <v/>
      </c>
      <c r="J25" s="36" t="n"/>
      <c r="K25" s="40" t="n"/>
      <c r="L25" s="40" t="n"/>
      <c r="M25" s="33">
        <f>IF(ISNUMBER(K25), K25+IF(ISNUMBER(L25), L25, 0), "")</f>
        <v/>
      </c>
      <c r="N25" s="41" t="n"/>
      <c r="O25" s="42" t="n"/>
      <c r="P25" s="33">
        <f>IF(AND(ISNUMBER(M25), ISNUMBER(O25)), M25*O25, "")</f>
        <v/>
      </c>
      <c r="Q25" s="33">
        <f>IF(AND(ISNUMBER(N25), ISNUMBER(O25)), N25*O25, "")</f>
        <v/>
      </c>
      <c r="R25" s="14">
        <f>IF(AND(ISNUMBER(M25), M25&gt;0, ISNUMBER(N25)), (N25-M25)/M25, "")</f>
        <v/>
      </c>
      <c r="S25" s="6" t="n"/>
      <c r="T25" s="36" t="n"/>
      <c r="U25" s="43" t="n"/>
    </row>
    <row r="26" ht="65" customHeight="1">
      <c r="B26" s="7" t="n">
        <v>19</v>
      </c>
      <c r="C26" s="29" t="n"/>
      <c r="D26" s="18" t="n"/>
      <c r="E26" s="7" t="n"/>
      <c r="F26" s="30" t="n"/>
      <c r="G26" s="7" t="n"/>
      <c r="H26" s="31" t="n"/>
      <c r="I26" s="10">
        <f>IF(ISNUMBER(H26), ROUND(H26/3.75, 2), "")</f>
        <v/>
      </c>
      <c r="J26" s="7" t="n"/>
      <c r="K26" s="32" t="n"/>
      <c r="L26" s="32" t="n"/>
      <c r="M26" s="33">
        <f>IF(ISNUMBER(K26), K26+IF(ISNUMBER(L26), L26, 0), "")</f>
        <v/>
      </c>
      <c r="N26" s="34" t="n"/>
      <c r="O26" s="35" t="n"/>
      <c r="P26" s="33">
        <f>IF(AND(ISNUMBER(M26), ISNUMBER(O26)), M26*O26, "")</f>
        <v/>
      </c>
      <c r="Q26" s="33">
        <f>IF(AND(ISNUMBER(N26), ISNUMBER(O26)), N26*O26, "")</f>
        <v/>
      </c>
      <c r="R26" s="14">
        <f>IF(AND(ISNUMBER(M26), M26&gt;0, ISNUMBER(N26)), (N26-M26)/M26, "")</f>
        <v/>
      </c>
      <c r="S26" s="18" t="n"/>
      <c r="T26" s="7" t="n"/>
      <c r="U26" s="8" t="n"/>
    </row>
    <row r="27" ht="65" customHeight="1">
      <c r="B27" s="36" t="n">
        <v>20</v>
      </c>
      <c r="C27" s="37" t="n"/>
      <c r="D27" s="6" t="n"/>
      <c r="E27" s="36" t="n"/>
      <c r="F27" s="38" t="n"/>
      <c r="G27" s="36" t="n"/>
      <c r="H27" s="39" t="n"/>
      <c r="I27" s="10">
        <f>IF(ISNUMBER(H27), ROUND(H27/3.75, 2), "")</f>
        <v/>
      </c>
      <c r="J27" s="36" t="n"/>
      <c r="K27" s="40" t="n"/>
      <c r="L27" s="40" t="n"/>
      <c r="M27" s="33">
        <f>IF(ISNUMBER(K27), K27+IF(ISNUMBER(L27), L27, 0), "")</f>
        <v/>
      </c>
      <c r="N27" s="41" t="n"/>
      <c r="O27" s="42" t="n"/>
      <c r="P27" s="33">
        <f>IF(AND(ISNUMBER(M27), ISNUMBER(O27)), M27*O27, "")</f>
        <v/>
      </c>
      <c r="Q27" s="33">
        <f>IF(AND(ISNUMBER(N27), ISNUMBER(O27)), N27*O27, "")</f>
        <v/>
      </c>
      <c r="R27" s="14">
        <f>IF(AND(ISNUMBER(M27), M27&gt;0, ISNUMBER(N27)), (N27-M27)/M27, "")</f>
        <v/>
      </c>
      <c r="S27" s="6" t="n"/>
      <c r="T27" s="36" t="n"/>
      <c r="U27" s="43" t="n"/>
    </row>
    <row r="28" ht="65" customHeight="1">
      <c r="B28" s="7" t="n">
        <v>21</v>
      </c>
      <c r="C28" s="29" t="n"/>
      <c r="D28" s="18" t="n"/>
      <c r="E28" s="7" t="n"/>
      <c r="F28" s="30" t="n"/>
      <c r="G28" s="7" t="n"/>
      <c r="H28" s="31" t="n"/>
      <c r="I28" s="10">
        <f>IF(ISNUMBER(H28), ROUND(H28/3.75, 2), "")</f>
        <v/>
      </c>
      <c r="J28" s="7" t="n"/>
      <c r="K28" s="32" t="n"/>
      <c r="L28" s="32" t="n"/>
      <c r="M28" s="33">
        <f>IF(ISNUMBER(K28), K28+IF(ISNUMBER(L28), L28, 0), "")</f>
        <v/>
      </c>
      <c r="N28" s="34" t="n"/>
      <c r="O28" s="35" t="n"/>
      <c r="P28" s="33">
        <f>IF(AND(ISNUMBER(M28), ISNUMBER(O28)), M28*O28, "")</f>
        <v/>
      </c>
      <c r="Q28" s="33">
        <f>IF(AND(ISNUMBER(N28), ISNUMBER(O28)), N28*O28, "")</f>
        <v/>
      </c>
      <c r="R28" s="14">
        <f>IF(AND(ISNUMBER(M28), M28&gt;0, ISNUMBER(N28)), (N28-M28)/M28, "")</f>
        <v/>
      </c>
      <c r="S28" s="18" t="n"/>
      <c r="T28" s="7" t="n"/>
      <c r="U28" s="8" t="n"/>
    </row>
    <row r="29" ht="65" customHeight="1">
      <c r="B29" s="36" t="n">
        <v>22</v>
      </c>
      <c r="C29" s="37" t="n"/>
      <c r="D29" s="6" t="n"/>
      <c r="E29" s="36" t="n"/>
      <c r="F29" s="38" t="n"/>
      <c r="G29" s="36" t="n"/>
      <c r="H29" s="39" t="n"/>
      <c r="I29" s="10">
        <f>IF(ISNUMBER(H29), ROUND(H29/3.75, 2), "")</f>
        <v/>
      </c>
      <c r="J29" s="36" t="n"/>
      <c r="K29" s="40" t="n"/>
      <c r="L29" s="40" t="n"/>
      <c r="M29" s="33">
        <f>IF(ISNUMBER(K29), K29+IF(ISNUMBER(L29), L29, 0), "")</f>
        <v/>
      </c>
      <c r="N29" s="41" t="n"/>
      <c r="O29" s="42" t="n"/>
      <c r="P29" s="33">
        <f>IF(AND(ISNUMBER(M29), ISNUMBER(O29)), M29*O29, "")</f>
        <v/>
      </c>
      <c r="Q29" s="33">
        <f>IF(AND(ISNUMBER(N29), ISNUMBER(O29)), N29*O29, "")</f>
        <v/>
      </c>
      <c r="R29" s="14">
        <f>IF(AND(ISNUMBER(M29), M29&gt;0, ISNUMBER(N29)), (N29-M29)/M29, "")</f>
        <v/>
      </c>
      <c r="S29" s="6" t="n"/>
      <c r="T29" s="36" t="n"/>
      <c r="U29" s="43" t="n"/>
    </row>
    <row r="30" ht="65" customHeight="1">
      <c r="B30" s="7" t="n">
        <v>23</v>
      </c>
      <c r="C30" s="29" t="n"/>
      <c r="D30" s="18" t="n"/>
      <c r="E30" s="7" t="n"/>
      <c r="F30" s="30" t="n"/>
      <c r="G30" s="7" t="n"/>
      <c r="H30" s="31" t="n"/>
      <c r="I30" s="10">
        <f>IF(ISNUMBER(H30), ROUND(H30/3.75, 2), "")</f>
        <v/>
      </c>
      <c r="J30" s="7" t="n"/>
      <c r="K30" s="32" t="n"/>
      <c r="L30" s="32" t="n"/>
      <c r="M30" s="33">
        <f>IF(ISNUMBER(K30), K30+IF(ISNUMBER(L30), L30, 0), "")</f>
        <v/>
      </c>
      <c r="N30" s="34" t="n"/>
      <c r="O30" s="35" t="n"/>
      <c r="P30" s="33">
        <f>IF(AND(ISNUMBER(M30), ISNUMBER(O30)), M30*O30, "")</f>
        <v/>
      </c>
      <c r="Q30" s="33">
        <f>IF(AND(ISNUMBER(N30), ISNUMBER(O30)), N30*O30, "")</f>
        <v/>
      </c>
      <c r="R30" s="14">
        <f>IF(AND(ISNUMBER(M30), M30&gt;0, ISNUMBER(N30)), (N30-M30)/M30, "")</f>
        <v/>
      </c>
      <c r="S30" s="18" t="n"/>
      <c r="T30" s="7" t="n"/>
      <c r="U30" s="8" t="n"/>
    </row>
  </sheetData>
  <mergeCells count="12">
    <mergeCell ref="R3:U3"/>
    <mergeCell ref="B3:D3"/>
    <mergeCell ref="H3:L3"/>
    <mergeCell ref="R4:U4"/>
    <mergeCell ref="M3:Q3"/>
    <mergeCell ref="B4:D4"/>
    <mergeCell ref="B6:U6"/>
    <mergeCell ref="E4:G4"/>
    <mergeCell ref="B2:U2"/>
    <mergeCell ref="E3:G3"/>
    <mergeCell ref="H4:L4"/>
    <mergeCell ref="M4:Q4"/>
  </mergeCells>
  <dataValidations count="4">
    <dataValidation sqref="E8:E30" showDropDown="0" showInputMessage="0" showErrorMessage="0" allowBlank="1" type="list">
      <formula1>='사용안내_및_설정'!$B$5:$B$14</formula1>
    </dataValidation>
    <dataValidation sqref="G8:G30" showDropDown="0" showInputMessage="0" showErrorMessage="0" allowBlank="1" type="list">
      <formula1>='사용안내_및_설정'!$C$5:$C$12</formula1>
    </dataValidation>
    <dataValidation sqref="S8:S30" showDropDown="0" showInputMessage="0" showErrorMessage="0" allowBlank="1" type="list">
      <formula1>='사용안내_및_설정'!$D$5:$D$10</formula1>
    </dataValidation>
    <dataValidation sqref="T8:T30" showDropDown="0" showInputMessage="0" showErrorMessage="0" allowBlank="1" type="list">
      <formula1>='사용안내_및_설정'!$E$5:$E$12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18" customWidth="1" min="4" max="4"/>
    <col width="18" customWidth="1" min="5" max="5"/>
    <col width="3" customWidth="1" min="6" max="6"/>
    <col width="48" customWidth="1" min="7" max="7"/>
  </cols>
  <sheetData>
    <row r="2" ht="36" customHeight="1">
      <c r="B2" s="1" t="inlineStr">
        <is>
          <t>📘 골드랩 엑셀 폼 사용 가이드 및 드롭다운 코드 설정</t>
        </is>
      </c>
    </row>
    <row r="4">
      <c r="B4" s="28" t="inlineStr">
        <is>
          <t>카테고리 목록</t>
        </is>
      </c>
      <c r="C4" s="28" t="inlineStr">
        <is>
          <t>순도/재질 목록</t>
        </is>
      </c>
      <c r="D4" s="28" t="inlineStr">
        <is>
          <t>판매/진열 상태</t>
        </is>
      </c>
      <c r="E4" s="28" t="inlineStr">
        <is>
          <t>보관 위치 목록</t>
        </is>
      </c>
      <c r="G4" s="4" t="inlineStr">
        <is>
          <t>📸 엑셀에 제품 사진 깔끔하게 넣고 고정하는 핵심 꿀팁</t>
        </is>
      </c>
    </row>
    <row r="5" ht="20" customHeight="1">
      <c r="B5" s="7" t="inlineStr">
        <is>
          <t>순금(24K)</t>
        </is>
      </c>
      <c r="C5" s="7" t="inlineStr">
        <is>
          <t>24K (99.99%)</t>
        </is>
      </c>
      <c r="D5" s="7" t="inlineStr">
        <is>
          <t>진열 판매중</t>
        </is>
      </c>
      <c r="E5" s="7" t="inlineStr">
        <is>
          <t>쇼케이스 A-01</t>
        </is>
      </c>
    </row>
    <row r="6" ht="20" customHeight="1">
      <c r="B6" s="36" t="inlineStr">
        <is>
          <t>18K 골드</t>
        </is>
      </c>
      <c r="C6" s="36" t="inlineStr">
        <is>
          <t>24K (99.9%)</t>
        </is>
      </c>
      <c r="D6" s="36" t="inlineStr">
        <is>
          <t>판매 대기</t>
        </is>
      </c>
      <c r="E6" s="36" t="inlineStr">
        <is>
          <t>쇼케이스 A-02</t>
        </is>
      </c>
      <c r="G6" s="44" t="inlineStr">
        <is>
          <t>1. 사진 삽입 방법 (두 가지 중 선택)
   • 최신 엑셀: 상단 메뉴 [삽입] ➔ [그림] ➔ [셀에 배치] 클릭 후 사진을 선택하면 해당 셀 크기에 맞게 쏙 들어갑니다.
   • 일반 엑셀: [삽입] ➔ [그림] ➔ [이 디바이스]로 사진을 넣고 모서리를 드래그해 셀 크기에 맞춥니다.
2. 사진이 다른 행으로 밀리거나 엉키지 않게 고정하는 법 (필수!)
   • 삽입한 사진을 [마우스 우클릭] ➔ [그림 서식] 클릭
   • 우측 패널에서 세 번째 아이콘 [크기 및 속성 (사각형 모양)] 클릭
   • '속성' 메뉴에서 【위치와 크기 변동(Move and size with cells)】을 선택하세요!
   ➔ 이렇게 하면 행 높이를 조절하거나 필터/정렬을 해도 사진이 셀과 함께 완벽하게 고정됩니다.
3. 자동 계산 수식 안내 (연노랑 셀)
   • 중량(돈): 중량(g)을 입력하면 1돈(3.75g) 기준으로 자동 환산됩니다. (=g/3.75)
   • 총 매입원가: 매입단가 + 공임비가 자동으로 합산됩니다.
   • 마진율: (판매단가 - 총원가) / 총원가 비율이 실시간 %로 계산됩니다.
   • 상단 대시보드: 전체 품목수, 재고수량, 총 재고평가액, 예상 매출액이 실시간 자동 집계됩니다.</t>
        </is>
      </c>
    </row>
    <row r="7" ht="20" customHeight="1">
      <c r="B7" s="7" t="inlineStr">
        <is>
          <t>14K 골드</t>
        </is>
      </c>
      <c r="C7" s="7" t="inlineStr">
        <is>
          <t>18K (75.0%)</t>
        </is>
      </c>
      <c r="D7" s="7" t="inlineStr">
        <is>
          <t>예약중</t>
        </is>
      </c>
      <c r="E7" s="7" t="inlineStr">
        <is>
          <t>쇼케이스 B-01</t>
        </is>
      </c>
      <c r="G7" s="17" t="n"/>
    </row>
    <row r="8" ht="20" customHeight="1">
      <c r="B8" s="36" t="inlineStr">
        <is>
          <t>백금(PT)</t>
        </is>
      </c>
      <c r="C8" s="36" t="inlineStr">
        <is>
          <t>14K (58.5%)</t>
        </is>
      </c>
      <c r="D8" s="36" t="inlineStr">
        <is>
          <t>판매 완료</t>
        </is>
      </c>
      <c r="E8" s="36" t="inlineStr">
        <is>
          <t>쇼케이스 B-02</t>
        </is>
      </c>
      <c r="G8" s="17" t="n"/>
    </row>
    <row r="9" ht="20" customHeight="1">
      <c r="B9" s="7" t="inlineStr">
        <is>
          <t>은(Silver)</t>
        </is>
      </c>
      <c r="C9" s="7" t="inlineStr">
        <is>
          <t>PT950 (백금)</t>
        </is>
      </c>
      <c r="D9" s="7" t="inlineStr">
        <is>
          <t>수리/리셋팅</t>
        </is>
      </c>
      <c r="E9" s="7" t="inlineStr">
        <is>
          <t>본점 금고 1호실</t>
        </is>
      </c>
      <c r="G9" s="17" t="n"/>
    </row>
    <row r="10" ht="20" customHeight="1">
      <c r="B10" s="36" t="inlineStr">
        <is>
          <t>다이아/보석</t>
        </is>
      </c>
      <c r="C10" s="36" t="inlineStr">
        <is>
          <t>Silver 925</t>
        </is>
      </c>
      <c r="D10" s="36" t="inlineStr">
        <is>
          <t>금고 보관</t>
        </is>
      </c>
      <c r="E10" s="36" t="inlineStr">
        <is>
          <t>본점 금고 2호실</t>
        </is>
      </c>
      <c r="G10" s="17" t="n"/>
    </row>
    <row r="11" ht="20" customHeight="1">
      <c r="B11" s="7" t="inlineStr">
        <is>
          <t>골드바</t>
        </is>
      </c>
      <c r="C11" s="7" t="inlineStr">
        <is>
          <t>다이아몬드</t>
        </is>
      </c>
      <c r="D11" s="7" t="inlineStr"/>
      <c r="E11" s="7" t="inlineStr">
        <is>
          <t>수탁/위탁 보관함</t>
        </is>
      </c>
      <c r="G11" s="17" t="n"/>
    </row>
    <row r="12" ht="20" customHeight="1">
      <c r="B12" s="36" t="inlineStr">
        <is>
          <t>코인/메달</t>
        </is>
      </c>
      <c r="C12" s="36" t="inlineStr">
        <is>
          <t>합금/기타</t>
        </is>
      </c>
      <c r="D12" s="36" t="inlineStr"/>
      <c r="E12" s="36" t="inlineStr">
        <is>
          <t>지점 이송 대기</t>
        </is>
      </c>
      <c r="G12" s="17" t="n"/>
    </row>
    <row r="13" ht="20" customHeight="1">
      <c r="B13" s="7" t="inlineStr">
        <is>
          <t>귀금속 원자재</t>
        </is>
      </c>
      <c r="C13" s="7" t="inlineStr"/>
      <c r="D13" s="7" t="inlineStr"/>
      <c r="E13" s="7" t="inlineStr"/>
      <c r="G13" s="17" t="n"/>
    </row>
    <row r="14" ht="20" customHeight="1">
      <c r="B14" s="36" t="inlineStr">
        <is>
          <t>기타 잡화</t>
        </is>
      </c>
      <c r="C14" s="36" t="inlineStr"/>
      <c r="D14" s="36" t="inlineStr"/>
      <c r="E14" s="36" t="inlineStr"/>
      <c r="G14" s="17" t="n"/>
    </row>
    <row r="15">
      <c r="G15" s="17" t="n"/>
    </row>
    <row r="16">
      <c r="G16" s="17" t="n"/>
    </row>
    <row r="17">
      <c r="G17" s="17" t="n"/>
    </row>
    <row r="18">
      <c r="G18" s="17" t="n"/>
    </row>
    <row r="19">
      <c r="G19" s="17" t="n"/>
    </row>
    <row r="20">
      <c r="G20" s="17" t="n"/>
    </row>
    <row r="21">
      <c r="G21" s="17" t="n"/>
    </row>
    <row r="22">
      <c r="G22" s="17" t="n"/>
    </row>
    <row r="23">
      <c r="G23" s="17" t="n"/>
    </row>
    <row r="24">
      <c r="G24" s="17" t="n"/>
    </row>
    <row r="25">
      <c r="G25" s="17" t="n"/>
    </row>
  </sheetData>
  <mergeCells count="3">
    <mergeCell ref="B2:G2"/>
    <mergeCell ref="G4:G5"/>
    <mergeCell ref="G6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2026-10-06T03:27:36Z</dcterms:created>
  <dcterms:modified xsi:type="dcterms:W3CDTF">2026-10-06T03:27:36Z</dcterms:modified>
</cp:coreProperties>
</file>